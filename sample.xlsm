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ito\Desktop\"/>
    </mc:Choice>
  </mc:AlternateContent>
  <xr:revisionPtr revIDLastSave="0" documentId="13_ncr:1_{14275792-2DAF-4FD2-B2BE-39F67F7AAB1E}" xr6:coauthVersionLast="47" xr6:coauthVersionMax="47" xr10:uidLastSave="{00000000-0000-0000-0000-000000000000}"/>
  <bookViews>
    <workbookView xWindow="-120" yWindow="-120" windowWidth="24240" windowHeight="13020" xr2:uid="{41AA6A4D-E9D7-481C-9BA4-D8E3EBA07AA7}"/>
  </bookViews>
  <sheets>
    <sheet name="inquiry" sheetId="1" r:id="rId1"/>
  </sheets>
  <functionGroups builtInGroupCount="19"/>
  <definedNames>
    <definedName name="_xlnm._FilterDatabase" localSheetId="0" hidden="1">inquiry!$B$13:$M$13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5" i="1"/>
  <c r="J7" i="1"/>
  <c r="J6" i="1"/>
  <c r="J8" i="1" l="1"/>
  <c r="G12" i="1"/>
</calcChain>
</file>

<file path=xl/sharedStrings.xml><?xml version="1.0" encoding="utf-8"?>
<sst xmlns="http://schemas.openxmlformats.org/spreadsheetml/2006/main" count="29" uniqueCount="24">
  <si>
    <t>Inq. No</t>
  </si>
  <si>
    <t>Name</t>
  </si>
  <si>
    <t>Address</t>
  </si>
  <si>
    <t>Contact No.</t>
  </si>
  <si>
    <t>Quantity</t>
  </si>
  <si>
    <t>Branch</t>
  </si>
  <si>
    <t>Type</t>
  </si>
  <si>
    <t>Price Given</t>
  </si>
  <si>
    <t>Product Inquired</t>
  </si>
  <si>
    <t xml:space="preserve">Date </t>
  </si>
  <si>
    <t xml:space="preserve">Time </t>
  </si>
  <si>
    <t>Customer Name</t>
  </si>
  <si>
    <t>Customer City Address</t>
  </si>
  <si>
    <t>Contact Number</t>
  </si>
  <si>
    <t>Total Price</t>
  </si>
  <si>
    <t>Status</t>
  </si>
  <si>
    <t>Total Inquiries</t>
  </si>
  <si>
    <t>Total Walk-In Inquiries</t>
  </si>
  <si>
    <t>Total Pending Inquiries</t>
  </si>
  <si>
    <t>Total Closed Inquiries</t>
  </si>
  <si>
    <t>Total Lost Sale</t>
  </si>
  <si>
    <t>INQ-00002</t>
  </si>
  <si>
    <t>Marikina</t>
  </si>
  <si>
    <t>Total Phone-In Inquiries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</si>
</sst>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5"/>
      <name val="Arial"/>
      <family val="2"/>
    </font>
    <font>
      <b/>
      <sz val="12"/>
      <color theme="9"/>
      <name val="Arial"/>
      <family val="2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59">
    <xf numFmtId="0" fontId="0" fillId="0" borderId="0" xfId="0"/>
    <xf numFmtId="14" fontId="3" fillId="0" borderId="2" xfId="0" applyNumberFormat="1" applyFont="1" applyBorder="1" applyAlignment="1">
      <alignment horizontal="right" vertical="center" indent="1"/>
    </xf>
    <xf numFmtId="14" fontId="5" fillId="0" borderId="4" xfId="0" applyNumberFormat="1" applyFont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left" vertical="center"/>
      <protection hidden="1"/>
    </xf>
    <xf numFmtId="14" fontId="3" fillId="0" borderId="5" xfId="0" applyNumberFormat="1" applyFont="1" applyBorder="1" applyAlignment="1">
      <alignment horizontal="right" vertical="center" indent="1"/>
    </xf>
    <xf numFmtId="0" fontId="8" fillId="0" borderId="6" xfId="0" applyFont="1" applyBorder="1" applyAlignment="1" applyProtection="1">
      <alignment vertical="center"/>
      <protection hidden="1"/>
    </xf>
    <xf numFmtId="14" fontId="3" fillId="0" borderId="7" xfId="0" applyNumberFormat="1" applyFont="1" applyBorder="1" applyAlignment="1">
      <alignment horizontal="right" vertical="center" indent="1"/>
    </xf>
    <xf numFmtId="0" fontId="0" fillId="0" borderId="6" xfId="0" applyBorder="1" applyAlignment="1">
      <alignment horizontal="center"/>
    </xf>
    <xf numFmtId="14" fontId="3" fillId="0" borderId="12" xfId="0" applyNumberFormat="1" applyFont="1" applyBorder="1" applyAlignment="1">
      <alignment horizontal="right" vertical="center" indent="1"/>
    </xf>
    <xf numFmtId="14" fontId="3" fillId="0" borderId="15" xfId="0" applyNumberFormat="1" applyFont="1" applyBorder="1" applyAlignment="1">
      <alignment horizontal="center" vertical="center"/>
    </xf>
    <xf numFmtId="49" fontId="5" fillId="5" borderId="16" xfId="1" applyNumberFormat="1" applyFont="1" applyFill="1" applyBorder="1" applyAlignment="1" applyProtection="1">
      <alignment vertical="center" wrapText="1"/>
      <protection hidden="1"/>
    </xf>
    <xf numFmtId="0" fontId="0" fillId="0" borderId="17" xfId="0" applyBorder="1" applyAlignment="1">
      <alignment horizontal="left" indent="1"/>
    </xf>
    <xf numFmtId="0" fontId="3" fillId="0" borderId="4" xfId="0" applyFont="1" applyBorder="1" applyAlignment="1">
      <alignment horizontal="right" vertical="center" indent="1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36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36" xfId="0" applyFont="1" applyBorder="1" applyAlignment="1">
      <alignment horizontal="right" vertical="center" indent="1"/>
    </xf>
    <xf numFmtId="4" fontId="9" fillId="2" borderId="26" xfId="1" applyNumberFormat="1" applyFont="1" applyBorder="1" applyAlignment="1" applyProtection="1">
      <alignment horizontal="center" vertical="center"/>
      <protection locked="0"/>
    </xf>
    <xf numFmtId="4" fontId="9" fillId="2" borderId="31" xfId="1" applyNumberFormat="1" applyFont="1" applyBorder="1" applyAlignment="1" applyProtection="1">
      <alignment horizontal="center" vertical="center"/>
      <protection locked="0"/>
    </xf>
    <xf numFmtId="4" fontId="9" fillId="2" borderId="35" xfId="1" applyNumberFormat="1" applyFont="1" applyBorder="1" applyAlignment="1" applyProtection="1">
      <alignment horizontal="center" vertical="center"/>
      <protection locked="0"/>
    </xf>
    <xf numFmtId="4" fontId="10" fillId="0" borderId="36" xfId="0" applyNumberFormat="1" applyFont="1" applyBorder="1" applyAlignment="1" applyProtection="1">
      <alignment horizontal="center" vertical="center"/>
      <protection hidden="1"/>
    </xf>
    <xf numFmtId="0" fontId="0" fillId="2" borderId="22" xfId="1" applyFont="1" applyBorder="1" applyAlignment="1" applyProtection="1">
      <alignment horizontal="center" vertical="center"/>
      <protection locked="0"/>
    </xf>
    <xf numFmtId="0" fontId="0" fillId="2" borderId="27" xfId="1" applyFont="1" applyBorder="1" applyAlignment="1" applyProtection="1">
      <alignment horizontal="center" vertical="center"/>
      <protection locked="0"/>
    </xf>
    <xf numFmtId="0" fontId="0" fillId="2" borderId="32" xfId="1" applyFont="1" applyBorder="1" applyAlignment="1" applyProtection="1">
      <alignment horizontal="center" vertical="center"/>
      <protection locked="0"/>
    </xf>
    <xf numFmtId="0" fontId="4" fillId="6" borderId="0" xfId="0" applyFont="1" applyFill="1"/>
    <xf numFmtId="0" fontId="4" fillId="6" borderId="0" xfId="0" applyFont="1" applyFill="1" applyAlignment="1">
      <alignment horizontal="left"/>
    </xf>
    <xf numFmtId="14" fontId="0" fillId="0" borderId="0" xfId="0" applyNumberFormat="1"/>
    <xf numFmtId="18" fontId="0" fillId="0" borderId="0" xfId="0" applyNumberFormat="1"/>
    <xf numFmtId="0" fontId="11" fillId="0" borderId="2" xfId="0" applyFont="1" applyBorder="1" applyAlignment="1">
      <alignment horizontal="right" vertical="center" indent="1"/>
    </xf>
    <xf numFmtId="0" fontId="11" fillId="0" borderId="0" xfId="0" applyFont="1" applyAlignment="1">
      <alignment horizontal="right" vertical="center"/>
    </xf>
    <xf numFmtId="0" fontId="12" fillId="0" borderId="26" xfId="0" applyFont="1" applyBorder="1" applyAlignment="1">
      <alignment horizontal="right" vertical="center" indent="1"/>
    </xf>
    <xf numFmtId="0" fontId="13" fillId="0" borderId="31" xfId="0" applyFont="1" applyBorder="1" applyAlignment="1">
      <alignment horizontal="right" vertical="center" indent="1"/>
    </xf>
    <xf numFmtId="0" fontId="14" fillId="0" borderId="35" xfId="0" applyFont="1" applyBorder="1" applyAlignment="1">
      <alignment horizontal="right" vertical="center" indent="1"/>
    </xf>
    <xf numFmtId="0" fontId="0" fillId="0" borderId="37" xfId="0" applyBorder="1"/>
    <xf numFmtId="0" fontId="11" fillId="0" borderId="26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9" fillId="2" borderId="15" xfId="1" applyNumberFormat="1" applyFont="1" applyBorder="1" applyAlignment="1" applyProtection="1">
      <alignment horizontal="left" vertical="center" wrapText="1" indent="1"/>
      <protection locked="0"/>
    </xf>
    <xf numFmtId="0" fontId="9" fillId="2" borderId="33" xfId="1" applyNumberFormat="1" applyFont="1" applyBorder="1" applyAlignment="1" applyProtection="1">
      <alignment horizontal="left" vertical="center" wrapText="1" indent="1"/>
      <protection locked="0"/>
    </xf>
    <xf numFmtId="0" fontId="9" fillId="2" borderId="34" xfId="1" applyNumberFormat="1" applyFont="1" applyBorder="1" applyAlignment="1" applyProtection="1">
      <alignment horizontal="left" vertical="center" wrapText="1" indent="1"/>
      <protection locked="0"/>
    </xf>
    <xf numFmtId="0" fontId="9" fillId="2" borderId="23" xfId="1" applyNumberFormat="1" applyFont="1" applyBorder="1" applyAlignment="1" applyProtection="1">
      <alignment horizontal="left" vertical="center" wrapText="1" indent="1"/>
      <protection locked="0"/>
    </xf>
    <xf numFmtId="0" fontId="9" fillId="2" borderId="24" xfId="1" applyNumberFormat="1" applyFont="1" applyBorder="1" applyAlignment="1" applyProtection="1">
      <alignment horizontal="left" vertical="center" wrapText="1" indent="1"/>
      <protection locked="0"/>
    </xf>
    <xf numFmtId="0" fontId="9" fillId="2" borderId="25" xfId="1" applyNumberFormat="1" applyFont="1" applyBorder="1" applyAlignment="1" applyProtection="1">
      <alignment horizontal="left" vertical="center" wrapText="1" indent="1"/>
      <protection locked="0"/>
    </xf>
    <xf numFmtId="0" fontId="9" fillId="2" borderId="28" xfId="1" applyNumberFormat="1" applyFont="1" applyBorder="1" applyAlignment="1" applyProtection="1">
      <alignment horizontal="left" vertical="center" wrapText="1" indent="1"/>
      <protection locked="0"/>
    </xf>
    <xf numFmtId="0" fontId="9" fillId="2" borderId="29" xfId="1" applyNumberFormat="1" applyFont="1" applyBorder="1" applyAlignment="1" applyProtection="1">
      <alignment horizontal="left" vertical="center" wrapText="1" indent="1"/>
      <protection locked="0"/>
    </xf>
    <xf numFmtId="0" fontId="9" fillId="2" borderId="30" xfId="1" applyNumberFormat="1" applyFont="1" applyBorder="1" applyAlignment="1" applyProtection="1">
      <alignment horizontal="left" vertical="center" wrapText="1" indent="1"/>
      <protection locked="0"/>
    </xf>
    <xf numFmtId="14" fontId="2" fillId="3" borderId="2" xfId="0" applyNumberFormat="1" applyFont="1" applyFill="1" applyBorder="1" applyAlignment="1" applyProtection="1">
      <alignment horizontal="center" vertical="center"/>
      <protection hidden="1"/>
    </xf>
    <xf numFmtId="14" fontId="2" fillId="3" borderId="3" xfId="0" applyNumberFormat="1" applyFont="1" applyFill="1" applyBorder="1" applyAlignment="1" applyProtection="1">
      <alignment horizontal="center" vertical="center"/>
      <protection hidden="1"/>
    </xf>
    <xf numFmtId="49" fontId="7" fillId="2" borderId="8" xfId="1" applyNumberFormat="1" applyFont="1" applyBorder="1" applyAlignment="1" applyProtection="1">
      <alignment horizontal="left" vertical="center" wrapText="1" indent="1"/>
      <protection locked="0"/>
    </xf>
    <xf numFmtId="49" fontId="7" fillId="2" borderId="9" xfId="1" applyNumberFormat="1" applyFont="1" applyBorder="1" applyAlignment="1" applyProtection="1">
      <alignment horizontal="left" vertical="center" wrapText="1" indent="1"/>
      <protection locked="0"/>
    </xf>
    <xf numFmtId="49" fontId="7" fillId="2" borderId="10" xfId="1" applyNumberFormat="1" applyFont="1" applyBorder="1" applyAlignment="1" applyProtection="1">
      <alignment horizontal="left" vertical="center" wrapText="1" indent="1"/>
      <protection locked="0"/>
    </xf>
    <xf numFmtId="49" fontId="7" fillId="2" borderId="11" xfId="1" applyNumberFormat="1" applyFont="1" applyBorder="1" applyAlignment="1" applyProtection="1">
      <alignment horizontal="left" vertical="center" wrapText="1" indent="1"/>
      <protection locked="0"/>
    </xf>
    <xf numFmtId="1" fontId="7" fillId="2" borderId="13" xfId="1" applyNumberFormat="1" applyFont="1" applyBorder="1" applyAlignment="1" applyProtection="1">
      <alignment horizontal="center" vertical="center" wrapText="1"/>
      <protection locked="0"/>
    </xf>
    <xf numFmtId="1" fontId="7" fillId="2" borderId="14" xfId="1" applyNumberFormat="1" applyFont="1" applyBorder="1" applyAlignment="1" applyProtection="1">
      <alignment horizontal="center" vertical="center" wrapText="1"/>
      <protection locked="0"/>
    </xf>
    <xf numFmtId="14" fontId="3" fillId="0" borderId="18" xfId="0" applyNumberFormat="1" applyFont="1" applyBorder="1" applyAlignment="1">
      <alignment horizontal="center" vertical="center"/>
    </xf>
    <xf numFmtId="14" fontId="3" fillId="0" borderId="19" xfId="0" applyNumberFormat="1" applyFont="1" applyBorder="1" applyAlignment="1">
      <alignment horizontal="center" vertical="center"/>
    </xf>
    <xf numFmtId="14" fontId="3" fillId="0" borderId="20" xfId="0" applyNumberFormat="1" applyFont="1" applyBorder="1" applyAlignment="1">
      <alignment horizontal="center" vertical="center"/>
    </xf>
    <xf numFmtId="14" fontId="3" fillId="0" borderId="21" xfId="0" applyNumberFormat="1" applyFont="1" applyBorder="1" applyAlignment="1">
      <alignment horizontal="center" vertical="center"/>
    </xf>
  </cellXfs>
  <cellStyles count="2">
    <cellStyle name="Normal" xfId="0" builtinId="0"/>
    <cellStyle name="Note" xfId="1" builtinId="10"/>
  </cellStyles>
  <dxfs count="3">
    <dxf>
      <font>
        <color theme="0"/>
      </font>
      <border>
        <right/>
        <bottom/>
        <vertical/>
        <horizontal/>
      </border>
    </dxf>
    <dxf>
      <numFmt numFmtId="0" formatCode="General"/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11</xdr:row>
          <xdr:rowOff>19050</xdr:rowOff>
        </xdr:from>
        <xdr:to>
          <xdr:col>5</xdr:col>
          <xdr:colOff>1771650</xdr:colOff>
          <xdr:row>11</xdr:row>
          <xdr:rowOff>400050</xdr:rowOff>
        </xdr:to>
        <xdr:sp macro="" textlink="">
          <xdr:nvSpPr>
            <xdr:cNvPr id="1035" name="Save_bt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7</xdr:col>
          <xdr:colOff>9525</xdr:colOff>
          <xdr:row>0</xdr:row>
          <xdr:rowOff>342900</xdr:rowOff>
        </xdr:to>
        <xdr:sp macro="" textlink="">
          <xdr:nvSpPr>
            <xdr:cNvPr id="1031" name="Cancel_bt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266700</xdr:rowOff>
        </xdr:from>
        <xdr:to>
          <xdr:col>6</xdr:col>
          <xdr:colOff>1981200</xdr:colOff>
          <xdr:row>4</xdr:row>
          <xdr:rowOff>0</xdr:rowOff>
        </xdr:to>
        <xdr:sp macro="" textlink="">
          <xdr:nvSpPr>
            <xdr:cNvPr id="1032" name="Clear_bt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</xdr:row>
          <xdr:rowOff>19050</xdr:rowOff>
        </xdr:from>
        <xdr:to>
          <xdr:col>5</xdr:col>
          <xdr:colOff>762000</xdr:colOff>
          <xdr:row>3</xdr:row>
          <xdr:rowOff>257175</xdr:rowOff>
        </xdr:to>
        <xdr:sp macro="" textlink="">
          <xdr:nvSpPr>
            <xdr:cNvPr id="1027" name="WalkIn_r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19050</xdr:rowOff>
        </xdr:from>
        <xdr:to>
          <xdr:col>5</xdr:col>
          <xdr:colOff>1704975</xdr:colOff>
          <xdr:row>3</xdr:row>
          <xdr:rowOff>257175</xdr:rowOff>
        </xdr:to>
        <xdr:sp macro="" textlink="">
          <xdr:nvSpPr>
            <xdr:cNvPr id="1029" name="Phone_r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8598-613B-4BCD-994C-96BC881381A6}">
  <sheetPr codeName="Sheet1"/>
  <dimension ref="A1:M141426"/>
  <sheetViews>
    <sheetView tabSelected="1" zoomScaleNormal="100" workbookViewId="0">
      <pane ySplit="13" topLeftCell="A14" activePane="bottomLeft" state="frozen"/>
      <selection pane="bottomLeft" activeCell="B14" sqref="B14"/>
    </sheetView>
  </sheetViews>
  <sheetFormatPr defaultRowHeight="15" x14ac:dyDescent="0.25"/>
  <cols>
    <col min="2" max="2" width="15.28515625" customWidth="1"/>
    <col min="3" max="3" width="10.42578125" customWidth="1"/>
    <col min="4" max="4" width="11" customWidth="1"/>
    <col min="6" max="6" width="26.85546875" customWidth="1"/>
    <col min="7" max="7" width="30" customWidth="1"/>
    <col min="8" max="8" width="15.5703125" bestFit="1" customWidth="1"/>
    <col min="9" max="9" width="27.7109375" customWidth="1"/>
    <col min="11" max="11" width="11" bestFit="1" customWidth="1"/>
    <col min="12" max="12" width="10.5703125" customWidth="1"/>
    <col min="13" max="13" width="11.5703125" customWidth="1"/>
  </cols>
  <sheetData>
    <row r="1" spans="1:13" ht="28.5" customHeight="1" thickBot="1" x14ac:dyDescent="0.3">
      <c r="B1" s="1" t="s">
        <v>0</v>
      </c>
      <c r="C1" s="47" t="s">
        <v>21</v>
      </c>
      <c r="D1" s="48"/>
      <c r="E1" s="2" t="s">
        <v>5</v>
      </c>
      <c r="F1" s="3" t="s">
        <v>22</v>
      </c>
      <c r="G1" s="4"/>
    </row>
    <row r="2" spans="1:13" ht="22.5" customHeight="1" thickBot="1" x14ac:dyDescent="0.3">
      <c r="B2" s="5" t="s">
        <v>1</v>
      </c>
      <c r="C2" s="49"/>
      <c r="D2" s="50"/>
      <c r="E2" s="51"/>
      <c r="F2" s="52"/>
      <c r="G2" s="6"/>
      <c r="I2" s="30" t="s">
        <v>23</v>
      </c>
      <c r="J2" s="37">
        <f>COUNTIF(E:E, "phone-in")</f>
        <v>0</v>
      </c>
    </row>
    <row r="3" spans="1:13" ht="24" customHeight="1" thickBot="1" x14ac:dyDescent="0.3">
      <c r="B3" s="7" t="s">
        <v>2</v>
      </c>
      <c r="C3" s="49"/>
      <c r="D3" s="50"/>
      <c r="E3" s="51"/>
      <c r="F3" s="52"/>
      <c r="G3" s="8"/>
      <c r="I3" s="30" t="s">
        <v>17</v>
      </c>
      <c r="J3" s="37">
        <f>COUNTIF(E:E, "walk-in")</f>
        <v>0</v>
      </c>
    </row>
    <row r="4" spans="1:13" ht="21" customHeight="1" thickBot="1" x14ac:dyDescent="0.3">
      <c r="B4" s="9" t="s">
        <v>3</v>
      </c>
      <c r="C4" s="53"/>
      <c r="D4" s="54"/>
      <c r="E4" s="10" t="s">
        <v>6</v>
      </c>
      <c r="F4" s="11"/>
      <c r="G4" s="12"/>
      <c r="I4" s="31"/>
    </row>
    <row r="5" spans="1:13" ht="21.75" customHeight="1" thickBot="1" x14ac:dyDescent="0.3">
      <c r="B5" s="13" t="s">
        <v>4</v>
      </c>
      <c r="C5" s="55" t="s">
        <v>8</v>
      </c>
      <c r="D5" s="56"/>
      <c r="E5" s="57"/>
      <c r="F5" s="58"/>
      <c r="G5" s="14" t="s">
        <v>7</v>
      </c>
      <c r="H5" s="35"/>
      <c r="I5" s="32" t="s">
        <v>18</v>
      </c>
      <c r="J5" s="36">
        <f>COUNTIF(M:M, "pending")</f>
        <v>0</v>
      </c>
    </row>
    <row r="6" spans="1:13" ht="24" customHeight="1" thickBot="1" x14ac:dyDescent="0.3">
      <c r="A6" s="15"/>
      <c r="B6" s="23"/>
      <c r="C6" s="41"/>
      <c r="D6" s="41"/>
      <c r="E6" s="42"/>
      <c r="F6" s="43"/>
      <c r="G6" s="19"/>
      <c r="I6" s="33" t="s">
        <v>19</v>
      </c>
      <c r="J6" s="36">
        <f>COUNTIF(M:M, "closed")</f>
        <v>0</v>
      </c>
    </row>
    <row r="7" spans="1:13" ht="23.25" customHeight="1" thickBot="1" x14ac:dyDescent="0.3">
      <c r="A7" s="15"/>
      <c r="B7" s="24"/>
      <c r="C7" s="44"/>
      <c r="D7" s="44"/>
      <c r="E7" s="45"/>
      <c r="F7" s="46"/>
      <c r="G7" s="20"/>
      <c r="I7" s="34" t="s">
        <v>20</v>
      </c>
      <c r="J7" s="36">
        <f>COUNTIF(M:M, "lost")</f>
        <v>0</v>
      </c>
    </row>
    <row r="8" spans="1:13" ht="21" customHeight="1" thickBot="1" x14ac:dyDescent="0.3">
      <c r="A8" s="15"/>
      <c r="B8" s="24"/>
      <c r="C8" s="44"/>
      <c r="D8" s="44"/>
      <c r="E8" s="45"/>
      <c r="F8" s="46"/>
      <c r="G8" s="20"/>
      <c r="I8" s="30" t="s">
        <v>16</v>
      </c>
      <c r="J8" s="37">
        <f>SUM(J5:J7)</f>
        <v>0</v>
      </c>
    </row>
    <row r="9" spans="1:13" ht="21" customHeight="1" x14ac:dyDescent="0.25">
      <c r="A9" s="15"/>
      <c r="B9" s="24"/>
      <c r="C9" s="44"/>
      <c r="D9" s="44"/>
      <c r="E9" s="45"/>
      <c r="F9" s="46"/>
      <c r="G9" s="20"/>
    </row>
    <row r="10" spans="1:13" ht="23.25" customHeight="1" x14ac:dyDescent="0.25">
      <c r="A10" s="15"/>
      <c r="B10" s="24"/>
      <c r="C10" s="44"/>
      <c r="D10" s="44"/>
      <c r="E10" s="45"/>
      <c r="F10" s="46"/>
      <c r="G10" s="20"/>
    </row>
    <row r="11" spans="1:13" ht="21.75" customHeight="1" thickBot="1" x14ac:dyDescent="0.3">
      <c r="A11" s="15"/>
      <c r="B11" s="25"/>
      <c r="C11" s="38"/>
      <c r="D11" s="38"/>
      <c r="E11" s="39"/>
      <c r="F11" s="40"/>
      <c r="G11" s="21"/>
    </row>
    <row r="12" spans="1:13" ht="33.75" customHeight="1" x14ac:dyDescent="0.25">
      <c r="B12" s="16"/>
      <c r="C12" s="16"/>
      <c r="D12" s="17"/>
      <c r="E12" s="17"/>
      <c r="F12" s="18"/>
      <c r="G12" s="22">
        <f>SUM(G6:G11)</f>
        <v>0</v>
      </c>
    </row>
    <row r="13" spans="1:13" x14ac:dyDescent="0.25">
      <c r="B13" s="26" t="s">
        <v>9</v>
      </c>
      <c r="C13" s="26" t="s">
        <v>10</v>
      </c>
      <c r="D13" s="26" t="s">
        <v>0</v>
      </c>
      <c r="E13" s="26" t="s">
        <v>6</v>
      </c>
      <c r="F13" s="27" t="s">
        <v>11</v>
      </c>
      <c r="G13" s="26" t="s">
        <v>12</v>
      </c>
      <c r="H13" s="26" t="s">
        <v>13</v>
      </c>
      <c r="I13" s="26" t="s">
        <v>8</v>
      </c>
      <c r="J13" s="26" t="s">
        <v>4</v>
      </c>
      <c r="K13" s="26" t="s">
        <v>5</v>
      </c>
      <c r="L13" s="26" t="s">
        <v>14</v>
      </c>
      <c r="M13" s="26" t="s">
        <v>15</v>
      </c>
    </row>
    <row r="14" spans="1:13" x14ac:dyDescent="0.25">
      <c r="B14" s="28"/>
      <c r="C14" s="29"/>
    </row>
    <row r="15" spans="1:13" x14ac:dyDescent="0.25">
      <c r="B15" s="28"/>
      <c r="C15" s="29"/>
    </row>
    <row r="16" spans="1:13" x14ac:dyDescent="0.25">
      <c r="B16" s="28"/>
      <c r="C16" s="29"/>
    </row>
    <row r="17" spans="2:3" x14ac:dyDescent="0.25">
      <c r="B17" s="28"/>
      <c r="C17" s="29"/>
    </row>
    <row r="18" spans="2:3" x14ac:dyDescent="0.25">
      <c r="B18" s="28"/>
      <c r="C18" s="29"/>
    </row>
    <row r="19" spans="2:3" x14ac:dyDescent="0.25">
      <c r="B19" s="28"/>
      <c r="C19" s="29"/>
    </row>
    <row r="20" spans="2:3" x14ac:dyDescent="0.25">
      <c r="B20" s="28"/>
      <c r="C20" s="29"/>
    </row>
    <row r="21" spans="2:3" x14ac:dyDescent="0.25">
      <c r="B21" s="28"/>
      <c r="C21" s="29"/>
    </row>
    <row r="22" spans="2:3" x14ac:dyDescent="0.25">
      <c r="B22" s="28"/>
      <c r="C22" s="29"/>
    </row>
    <row r="23" spans="2:3" x14ac:dyDescent="0.25">
      <c r="B23" s="28"/>
      <c r="C23" s="29"/>
    </row>
    <row r="24" spans="2:3" x14ac:dyDescent="0.25">
      <c r="B24" s="28"/>
      <c r="C24" s="29"/>
    </row>
    <row r="25" spans="2:3" x14ac:dyDescent="0.25">
      <c r="B25" s="28"/>
      <c r="C25" s="29"/>
    </row>
    <row r="26" spans="2:3" x14ac:dyDescent="0.25">
      <c r="B26" s="28"/>
      <c r="C26" s="29"/>
    </row>
    <row r="27" spans="2:3" x14ac:dyDescent="0.25">
      <c r="B27" s="28"/>
      <c r="C27" s="29"/>
    </row>
    <row r="28" spans="2:3" x14ac:dyDescent="0.25">
      <c r="B28" s="28"/>
      <c r="C28" s="29"/>
    </row>
    <row r="29" spans="2:3" x14ac:dyDescent="0.25">
      <c r="B29" s="28"/>
      <c r="C29" s="29"/>
    </row>
    <row r="30" spans="2:3" x14ac:dyDescent="0.25">
      <c r="B30" s="28"/>
      <c r="C30" s="29"/>
    </row>
    <row r="31" spans="2:3" x14ac:dyDescent="0.25">
      <c r="B31" s="28"/>
      <c r="C31" s="29"/>
    </row>
    <row r="32" spans="2:3" x14ac:dyDescent="0.25">
      <c r="B32" s="28"/>
      <c r="C32" s="29"/>
    </row>
    <row r="33" spans="2:3" x14ac:dyDescent="0.25">
      <c r="B33" s="28"/>
      <c r="C33" s="29"/>
    </row>
    <row r="34" spans="2:3" x14ac:dyDescent="0.25">
      <c r="B34" s="28"/>
      <c r="C34" s="29"/>
    </row>
    <row r="35" spans="2:3" x14ac:dyDescent="0.25">
      <c r="B35" s="28"/>
      <c r="C35" s="29"/>
    </row>
    <row r="36" spans="2:3" x14ac:dyDescent="0.25">
      <c r="B36" s="28"/>
      <c r="C36" s="29"/>
    </row>
    <row r="37" spans="2:3" x14ac:dyDescent="0.25">
      <c r="B37" s="28"/>
      <c r="C37" s="29"/>
    </row>
    <row r="38" spans="2:3" x14ac:dyDescent="0.25">
      <c r="B38" s="28"/>
      <c r="C38" s="29"/>
    </row>
    <row r="39" spans="2:3" x14ac:dyDescent="0.25">
      <c r="B39" s="28"/>
      <c r="C39" s="29"/>
    </row>
    <row r="40" spans="2:3" x14ac:dyDescent="0.25">
      <c r="B40" s="28"/>
      <c r="C40" s="29"/>
    </row>
    <row r="41" spans="2:3" x14ac:dyDescent="0.25">
      <c r="B41" s="28"/>
      <c r="C41" s="29"/>
    </row>
    <row r="42" spans="2:3" x14ac:dyDescent="0.25">
      <c r="B42" s="28"/>
      <c r="C42" s="29"/>
    </row>
    <row r="43" spans="2:3" x14ac:dyDescent="0.25">
      <c r="B43" s="28"/>
      <c r="C43" s="29"/>
    </row>
    <row r="44" spans="2:3" x14ac:dyDescent="0.25">
      <c r="B44" s="28"/>
      <c r="C44" s="29"/>
    </row>
    <row r="1412" spans="1:1" x14ac:dyDescent="0.25">
      <c r="A1412" s="28">
        <v>45059</v>
      </c>
    </row>
    <row r="141413" spans="1:1" x14ac:dyDescent="0.25">
      <c r="A141413" s="28">
        <v>45059</v>
      </c>
    </row>
    <row r="141414" spans="1:1" x14ac:dyDescent="0.25">
      <c r="A141414" s="28">
        <v>45059</v>
      </c>
    </row>
    <row r="141415" spans="1:1" x14ac:dyDescent="0.25">
      <c r="A141415" s="28">
        <v>45059</v>
      </c>
    </row>
    <row r="141416" spans="1:1" x14ac:dyDescent="0.25">
      <c r="A141416" s="28">
        <v>45059</v>
      </c>
    </row>
    <row r="141417" spans="1:1" x14ac:dyDescent="0.25">
      <c r="A141417" s="28">
        <v>45059</v>
      </c>
    </row>
    <row r="141418" spans="1:1" x14ac:dyDescent="0.25">
      <c r="A141418" s="28">
        <v>45059</v>
      </c>
    </row>
    <row r="141419" spans="1:1" x14ac:dyDescent="0.25">
      <c r="A141419" s="28">
        <v>45059</v>
      </c>
    </row>
    <row r="141420" spans="1:1" x14ac:dyDescent="0.25">
      <c r="A141420" s="28">
        <v>45059</v>
      </c>
    </row>
    <row r="141421" spans="1:1" x14ac:dyDescent="0.25">
      <c r="A141421" s="28">
        <v>45059</v>
      </c>
    </row>
    <row r="141422" spans="1:1" x14ac:dyDescent="0.25">
      <c r="A141422" s="28">
        <v>45059</v>
      </c>
    </row>
    <row r="141423" spans="1:1" x14ac:dyDescent="0.25">
      <c r="A141423" s="28">
        <v>45059</v>
      </c>
    </row>
    <row r="141424" spans="1:1" x14ac:dyDescent="0.25">
      <c r="A141424" s="28">
        <v>45059</v>
      </c>
    </row>
    <row r="141425" spans="1:1" x14ac:dyDescent="0.25">
      <c r="A141425" s="28">
        <v>45059</v>
      </c>
    </row>
    <row r="141426" spans="1:1" x14ac:dyDescent="0.25">
      <c r="A141426" s="28">
        <v>45059</v>
      </c>
    </row>
  </sheetData>
  <sheetProtection selectLockedCells="1" selectUnlockedCells="1"/>
  <autoFilter ref="B13:M13" xr:uid="{AAB88598-613B-4BCD-994C-96BC881381A6}"/>
  <dataConsolidate/>
  <mergeCells count="11">
    <mergeCell ref="C1:D1"/>
    <mergeCell ref="C2:F2"/>
    <mergeCell ref="C3:F3"/>
    <mergeCell ref="C4:D4"/>
    <mergeCell ref="C5:F5"/>
    <mergeCell ref="C11:F11"/>
    <mergeCell ref="C6:F6"/>
    <mergeCell ref="C7:F7"/>
    <mergeCell ref="C8:F8"/>
    <mergeCell ref="C9:F9"/>
    <mergeCell ref="C10:F10"/>
  </mergeCells>
  <conditionalFormatting sqref="G2">
    <cfRule type="expression" dxfId="2" priority="4">
      <formula>$C$2=TRUE</formula>
    </cfRule>
  </conditionalFormatting>
  <conditionalFormatting sqref="C6:F11">
    <cfRule type="notContainsBlanks" dxfId="1" priority="3">
      <formula>LEN(TRIM(C6))&gt;0</formula>
    </cfRule>
  </conditionalFormatting>
  <conditionalFormatting sqref="G12">
    <cfRule type="cellIs" dxfId="0" priority="2" operator="equal">
      <formula>0</formula>
    </cfRule>
  </conditionalFormatting>
  <dataValidations count="2">
    <dataValidation type="list" allowBlank="1" showInputMessage="1" showErrorMessage="1" sqref="F1" xr:uid="{63D62734-B8F1-4616-8B26-26E891B26D68}">
      <formula1>" -,Abad,Banawe,Evangelista,Marikina,Pasig,Quezon Ave.,Sucat,Taytay"</formula1>
    </dataValidation>
    <dataValidation type="list" allowBlank="1" showInputMessage="1" showErrorMessage="1" sqref="M14:M523" xr:uid="{A62A199B-A240-49D6-A117-3177528CBE75}">
      <formula1>"Pending, Closed, Lost"</formula1>
    </dataValidation>
  </dataValidations>
  <pageMargins left="0.7" right="0.7" top="0.75" bottom="0.75" header="0.3" footer="0.3"/>
  <pageSetup orientation="portrait" r:id="rId1"/>
  <ignoredErrors>
    <ignoredError sqref="J6" formula="1"/>
  </ignoredErrors>
  <drawing r:id="rId2"/>
  <legacyDrawing r:id="rId3"/>
  <controls>
    <mc:AlternateContent xmlns:mc="http://schemas.openxmlformats.org/markup-compatibility/2006">
      <mc:Choice Requires="x14">
        <control shapeId="1035" r:id="rId4" name="Save_btn">
          <controlPr defaultSize="0" autoLine="0" r:id="rId5">
            <anchor moveWithCells="1" sizeWithCells="1">
              <from>
                <xdr:col>0</xdr:col>
                <xdr:colOff>600075</xdr:colOff>
                <xdr:row>11</xdr:row>
                <xdr:rowOff>19050</xdr:rowOff>
              </from>
              <to>
                <xdr:col>5</xdr:col>
                <xdr:colOff>1771650</xdr:colOff>
                <xdr:row>11</xdr:row>
                <xdr:rowOff>400050</xdr:rowOff>
              </to>
            </anchor>
          </controlPr>
        </control>
      </mc:Choice>
      <mc:Fallback>
        <control shapeId="1035" r:id="rId4" name="Save_btn"/>
      </mc:Fallback>
    </mc:AlternateContent>
    <mc:AlternateContent xmlns:mc="http://schemas.openxmlformats.org/markup-compatibility/2006">
      <mc:Choice Requires="x14">
        <control shapeId="1032" r:id="rId6" name="Clear_btn">
          <controlPr defaultSize="0" autoLine="0" r:id="rId7">
            <anchor moveWithCells="1" sizeWithCells="1">
              <from>
                <xdr:col>6</xdr:col>
                <xdr:colOff>9525</xdr:colOff>
                <xdr:row>1</xdr:row>
                <xdr:rowOff>266700</xdr:rowOff>
              </from>
              <to>
                <xdr:col>6</xdr:col>
                <xdr:colOff>1981200</xdr:colOff>
                <xdr:row>4</xdr:row>
                <xdr:rowOff>0</xdr:rowOff>
              </to>
            </anchor>
          </controlPr>
        </control>
      </mc:Choice>
      <mc:Fallback>
        <control shapeId="1032" r:id="rId6" name="Clear_btn"/>
      </mc:Fallback>
    </mc:AlternateContent>
    <mc:AlternateContent xmlns:mc="http://schemas.openxmlformats.org/markup-compatibility/2006">
      <mc:Choice Requires="x14">
        <control shapeId="1031" r:id="rId8" name="Cancel_btn">
          <controlPr defaultSize="0" autoLine="0" r:id="rId9">
            <anchor moveWithCells="1" sizeWithCells="1">
              <from>
                <xdr:col>6</xdr:col>
                <xdr:colOff>9525</xdr:colOff>
                <xdr:row>0</xdr:row>
                <xdr:rowOff>9525</xdr:rowOff>
              </from>
              <to>
                <xdr:col>7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1031" r:id="rId8" name="Cancel_btn"/>
      </mc:Fallback>
    </mc:AlternateContent>
    <mc:AlternateContent xmlns:mc="http://schemas.openxmlformats.org/markup-compatibility/2006">
      <mc:Choice Requires="x14">
        <control shapeId="1029" r:id="rId10" name="Phone_rbtn">
          <controlPr locked="0" defaultSize="0" autoLine="0" r:id="rId11">
            <anchor moveWithCells="1" sizeWithCells="1">
              <from>
                <xdr:col>5</xdr:col>
                <xdr:colOff>876300</xdr:colOff>
                <xdr:row>3</xdr:row>
                <xdr:rowOff>19050</xdr:rowOff>
              </from>
              <to>
                <xdr:col>5</xdr:col>
                <xdr:colOff>1704975</xdr:colOff>
                <xdr:row>3</xdr:row>
                <xdr:rowOff>257175</xdr:rowOff>
              </to>
            </anchor>
          </controlPr>
        </control>
      </mc:Choice>
      <mc:Fallback>
        <control shapeId="1029" r:id="rId10" name="Phone_rbtn"/>
      </mc:Fallback>
    </mc:AlternateContent>
    <mc:AlternateContent xmlns:mc="http://schemas.openxmlformats.org/markup-compatibility/2006">
      <mc:Choice Requires="x14">
        <control shapeId="1027" r:id="rId12" name="WalkIn_rbtn">
          <controlPr locked="0" defaultSize="0" autoLine="0" r:id="rId13">
            <anchor moveWithCells="1" sizeWithCells="1">
              <from>
                <xdr:col>5</xdr:col>
                <xdr:colOff>57150</xdr:colOff>
                <xdr:row>3</xdr:row>
                <xdr:rowOff>19050</xdr:rowOff>
              </from>
              <to>
                <xdr:col>5</xdr:col>
                <xdr:colOff>762000</xdr:colOff>
                <xdr:row>3</xdr:row>
                <xdr:rowOff>257175</xdr:rowOff>
              </to>
            </anchor>
          </controlPr>
        </control>
      </mc:Choice>
      <mc:Fallback>
        <control shapeId="1027" r:id="rId12" name="WalkIn_r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inquiry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Karlito</dc:creator>
  <cp:lastModifiedBy>Karlito</cp:lastModifiedBy>
  <dcterms:created xsi:type="dcterms:W3CDTF">2023-05-12T11:56:45Z</dcterms:created>
  <dcterms:modified xsi:type="dcterms:W3CDTF">2023-06-27T05:39:34Z</dcterms:modified>
</cp:coreProperties>
</file>